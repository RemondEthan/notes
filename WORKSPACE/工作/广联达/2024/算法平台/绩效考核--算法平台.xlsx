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考核标准" sheetId="1" state="visible" r:id="rId1"/>
    <sheet name="梁星" sheetId="2" state="visible" r:id="rId2"/>
    <sheet name="籍学友" sheetId="3" state="visible" r:id="rId3"/>
    <sheet name="冯斐帆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<sst xmlns="http://schemas.openxmlformats.org/spreadsheetml/2006/main" count="58" uniqueCount="58">
  <si>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>分类</t>
  </si>
  <si>
    <t>指标项</t>
  </si>
  <si>
    <t>占比</t>
  </si>
  <si>
    <t>不及格（&lt;6分）</t>
  </si>
  <si>
    <t>合格（6~8分）</t>
  </si>
  <si>
    <t>良好（8~10分）</t>
  </si>
  <si>
    <t>优秀（10~12分）</t>
  </si>
  <si>
    <t>工作业绩</t>
  </si>
  <si>
    <t>目标完成度</t>
  </si>
  <si>
    <t>不能按时完成原定目标</t>
  </si>
  <si>
    <t>基本能按时完成目标，质量不太好，应用效果一般</t>
  </si>
  <si>
    <t>能够按时保质保量完成目标，应用效果较好，能够体现交付价值</t>
  </si>
  <si>
    <t>经常高效、高质量的完成目标，交付价值明显，表现突出</t>
  </si>
  <si>
    <t>工作能力</t>
  </si>
  <si>
    <t>专业知识技能</t>
  </si>
  <si>
    <t xml:space="preserve">对专业知识有粗浅了解，影响正常 工作开展，经常出差错</t>
  </si>
  <si>
    <t>对专业知识掌握一般，基本能满足正常工作要求</t>
  </si>
  <si>
    <t>掌握专业知识，具有一定的深度，可完全满足工作要求</t>
  </si>
  <si>
    <t>系统全面的掌握本专业知识，对某些问题有独立见解，是本专业的行业专家</t>
  </si>
  <si>
    <t>执行力</t>
  </si>
  <si>
    <t>做事没有计划，不分主次，效率低，缺乏组织能力</t>
  </si>
  <si>
    <t>基本能按计划完成任务，不太注意细节，效率较低，需要别人的帮助才能完成任务</t>
  </si>
  <si>
    <t>做事有计划，比较注意细节，效率尚可，组织性较强</t>
  </si>
  <si>
    <t>能够严格按照计划完成任务，确保每个细节不出差错，效率高，质量好</t>
  </si>
  <si>
    <t>客户服务能力</t>
  </si>
  <si>
    <t>没有客户服务意识，不能及时解决客户问题</t>
  </si>
  <si>
    <t>有一定的客户服务意识，基本能解决客户问题，但不能让客户满意</t>
  </si>
  <si>
    <t>客户服务意识较好，能够与客户有效沟通和协作，顺利解决客户问题，客户较满意</t>
  </si>
  <si>
    <t>有极强的客户服务意识，能够深度挖掘客户的需求，完美解决客户问题，客户非常满意</t>
  </si>
  <si>
    <t>沟通能力</t>
  </si>
  <si>
    <t>不能有效表达自己的意图和想法，常常不知对方所云</t>
  </si>
  <si>
    <t>语言不够清晰，但基本能表达自己的意图，能够倾听别人的意见，基本理解</t>
  </si>
  <si>
    <t>能够抓住重点，清晰表达意图，能够理解别人的想法</t>
  </si>
  <si>
    <t>沟通有一定的技巧，能够言简意赅的表达自己的意图，能够快速领悟别人的想法和思路</t>
  </si>
  <si>
    <t>工作态度</t>
  </si>
  <si>
    <t>工作责任感</t>
  </si>
  <si>
    <t>不能保质保量完成工作任务，责任心不强</t>
  </si>
  <si>
    <t>基本能保质保量完成任务，但对出现的失误会推脱责任</t>
  </si>
  <si>
    <t>自觉的保质保量完成任务，且对自己的行为负责</t>
  </si>
  <si>
    <t>对待工作有强烈的责任心，不仅能保质保量完成任务，还经常承担额外任务</t>
  </si>
  <si>
    <t>工作积极性</t>
  </si>
  <si>
    <t>从不主动学习业务知识，很少承担额外的工作任务</t>
  </si>
  <si>
    <t>偶尔主动学习业务知识，有时会主动完成额外的一般任务</t>
  </si>
  <si>
    <t>主动学习业务知识，主动承担额外任务</t>
  </si>
  <si>
    <t>长期坚持学习业务知识，常常主动承担额外任务，常常提出新问题、新看法</t>
  </si>
  <si>
    <t>团队协作性</t>
  </si>
  <si>
    <t>对待协作请求不能积极响应，在团队协作任务中表现较差</t>
  </si>
  <si>
    <t>对待同事的协作任务能提供一般的帮助</t>
  </si>
  <si>
    <t xml:space="preserve">能够与同事保持良好的协作 关系，在团队协作任务中表现良好</t>
  </si>
  <si>
    <t>能够主动协助同事完成任务，在团队协作任务中有出色的表现</t>
  </si>
  <si>
    <t>工作纪律性</t>
  </si>
  <si>
    <t>不遵守工作规定，纪律性差</t>
  </si>
  <si>
    <t>基本能遵守工作规定，自我要求不严</t>
  </si>
  <si>
    <t>遵守工作规定，有较强的自觉性和纪律性</t>
  </si>
  <si>
    <t>严格遵守工作规定，自我要求严格，自觉性和纪律性非常强</t>
  </si>
  <si>
    <t>单项分</t>
  </si>
  <si>
    <t>实际分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</si>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</sst>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4.000000"/>
      <color theme="1"/>
      <name val="微软雅黑"/>
    </font>
    <font>
      <b/>
      <sz val="12.000000"/>
      <color theme="1"/>
      <name val="微软雅黑"/>
    </font>
    <font>
      <sz val="11.000000"/>
      <color theme="1"/>
      <name val="微软雅黑"/>
    </font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0" fillId="0" borderId="0" numFmtId="49" xfId="0" applyNumberFormat="1" applyAlignment="1">
      <alignment wrapText="1"/>
    </xf>
    <xf fontId="1" fillId="0" borderId="1" numFmtId="0" xfId="0" applyFont="1" applyBorder="1"/>
    <xf fontId="1" fillId="0" borderId="1" numFmtId="49" xfId="0" applyNumberFormat="1" applyFont="1" applyBorder="1" applyAlignment="1">
      <alignment wrapText="1"/>
    </xf>
    <xf fontId="1" fillId="0" borderId="2" numFmtId="0" xfId="0" applyFont="1" applyBorder="1" applyAlignment="1">
      <alignment horizontal="center" vertical="center"/>
    </xf>
    <xf fontId="1" fillId="0" borderId="1" numFmtId="0" xfId="0" applyFont="1" applyBorder="1" applyAlignment="1">
      <alignment vertical="center"/>
    </xf>
    <xf fontId="2" fillId="0" borderId="1" numFmtId="9" xfId="0" applyNumberFormat="1" applyFont="1" applyBorder="1"/>
    <xf fontId="3" fillId="0" borderId="1" numFmtId="49" xfId="0" applyNumberFormat="1" applyFont="1" applyBorder="1" applyAlignment="1">
      <alignment wrapText="1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1" numFmtId="0" xfId="0" applyFont="1" applyBorder="1"/>
    <xf fontId="2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vertical="center"/>
    </xf>
    <xf fontId="4" fillId="0" borderId="1" numFmtId="0" xfId="0" applyFont="1" applyBorder="1"/>
    <xf fontId="0" fillId="0" borderId="1" numFmtId="0" xfId="0" applyBorder="1"/>
    <xf fontId="2" fillId="0" borderId="5" numFmtId="0" xfId="0" applyFont="1" applyBorder="1" applyAlignment="1">
      <alignment horizontal="center"/>
    </xf>
    <xf fontId="2" fillId="0" borderId="6" numFmtId="0" xfId="0" applyFont="1" applyBorder="1" applyAlignment="1">
      <alignment horizontal="center"/>
    </xf>
    <xf fontId="2" fillId="0" borderId="7" numFmt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3" activeCellId="0" sqref="D23"/>
    </sheetView>
  </sheetViews>
  <sheetFormatPr baseColWidth="10" defaultColWidth="8.83203125" defaultRowHeight="15"/>
  <cols>
    <col customWidth="1" min="1" max="1" width="17.33203125"/>
    <col customWidth="1" min="2" max="2" width="17.1640625"/>
    <col customWidth="1" min="3" max="3" width="6"/>
    <col customWidth="1" min="4" max="7" style="1" width="28.33203125"/>
  </cols>
  <sheetData>
    <row r="1" ht="2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36">
      <c r="A2" s="4" t="s">
        <v>7</v>
      </c>
      <c r="B2" s="5" t="s">
        <v>8</v>
      </c>
      <c r="C2" s="6">
        <v>0.59999999999999998</v>
      </c>
      <c r="D2" s="7" t="s">
        <v>9</v>
      </c>
      <c r="E2" s="7" t="s">
        <v>10</v>
      </c>
      <c r="F2" s="7" t="s">
        <v>11</v>
      </c>
      <c r="G2" s="7" t="s">
        <v>12</v>
      </c>
    </row>
    <row r="3" ht="54">
      <c r="A3" s="8" t="s">
        <v>13</v>
      </c>
      <c r="B3" s="5" t="s">
        <v>14</v>
      </c>
      <c r="C3" s="6">
        <v>0.050000000000000003</v>
      </c>
      <c r="D3" s="7" t="s">
        <v>15</v>
      </c>
      <c r="E3" s="7" t="s">
        <v>16</v>
      </c>
      <c r="F3" s="7" t="s">
        <v>17</v>
      </c>
      <c r="G3" s="7" t="s">
        <v>18</v>
      </c>
    </row>
    <row r="4" ht="54">
      <c r="A4" s="9"/>
      <c r="B4" s="5" t="s">
        <v>19</v>
      </c>
      <c r="C4" s="6">
        <v>0.050000000000000003</v>
      </c>
      <c r="D4" s="7" t="s">
        <v>20</v>
      </c>
      <c r="E4" s="7" t="s">
        <v>21</v>
      </c>
      <c r="F4" s="7" t="s">
        <v>22</v>
      </c>
      <c r="G4" s="7" t="s">
        <v>23</v>
      </c>
    </row>
    <row r="5" ht="51" customHeight="1">
      <c r="A5" s="9"/>
      <c r="B5" s="5" t="s">
        <v>24</v>
      </c>
      <c r="C5" s="6">
        <v>0.050000000000000003</v>
      </c>
      <c r="D5" s="7" t="s">
        <v>25</v>
      </c>
      <c r="E5" s="7" t="s">
        <v>26</v>
      </c>
      <c r="F5" s="7" t="s">
        <v>27</v>
      </c>
      <c r="G5" s="7" t="s">
        <v>28</v>
      </c>
    </row>
    <row r="6" ht="54">
      <c r="A6" s="4"/>
      <c r="B6" s="5" t="s">
        <v>29</v>
      </c>
      <c r="C6" s="6">
        <v>0.050000000000000003</v>
      </c>
      <c r="D6" s="7" t="s">
        <v>30</v>
      </c>
      <c r="E6" s="7" t="s">
        <v>31</v>
      </c>
      <c r="F6" s="7" t="s">
        <v>32</v>
      </c>
      <c r="G6" s="7" t="s">
        <v>33</v>
      </c>
    </row>
    <row r="7" ht="54">
      <c r="A7" s="10" t="s">
        <v>34</v>
      </c>
      <c r="B7" s="5" t="s">
        <v>35</v>
      </c>
      <c r="C7" s="6">
        <v>0.050000000000000003</v>
      </c>
      <c r="D7" s="7" t="s">
        <v>36</v>
      </c>
      <c r="E7" s="7" t="s">
        <v>37</v>
      </c>
      <c r="F7" s="7" t="s">
        <v>38</v>
      </c>
      <c r="G7" s="7" t="s">
        <v>39</v>
      </c>
    </row>
    <row r="8" ht="54">
      <c r="A8" s="10"/>
      <c r="B8" s="5" t="s">
        <v>40</v>
      </c>
      <c r="C8" s="6">
        <v>0.050000000000000003</v>
      </c>
      <c r="D8" s="7" t="s">
        <v>41</v>
      </c>
      <c r="E8" s="7" t="s">
        <v>42</v>
      </c>
      <c r="F8" s="7" t="s">
        <v>43</v>
      </c>
      <c r="G8" s="7" t="s">
        <v>44</v>
      </c>
    </row>
    <row r="9" ht="36">
      <c r="A9" s="10"/>
      <c r="B9" s="5" t="s">
        <v>45</v>
      </c>
      <c r="C9" s="6">
        <v>0.050000000000000003</v>
      </c>
      <c r="D9" s="7" t="s">
        <v>46</v>
      </c>
      <c r="E9" s="7" t="s">
        <v>47</v>
      </c>
      <c r="F9" s="7" t="s">
        <v>48</v>
      </c>
      <c r="G9" s="7" t="s">
        <v>49</v>
      </c>
    </row>
    <row r="10" ht="33" customHeight="1">
      <c r="A10" s="10"/>
      <c r="B10" s="5" t="s">
        <v>50</v>
      </c>
      <c r="C10" s="6">
        <v>0.050000000000000003</v>
      </c>
      <c r="D10" s="7" t="s">
        <v>51</v>
      </c>
      <c r="E10" s="7" t="s">
        <v>52</v>
      </c>
      <c r="F10" s="7" t="s">
        <v>53</v>
      </c>
      <c r="G10" s="7" t="s">
        <v>54</v>
      </c>
    </row>
  </sheetData>
  <mergeCells count="2">
    <mergeCell ref="A3:A6"/>
    <mergeCell ref="A7:A1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M12" activeCellId="0" sqref="M12"/>
    </sheetView>
  </sheetViews>
  <sheetFormatPr baseColWidth="10" defaultColWidth="8.83203125" defaultRowHeight="15"/>
  <cols>
    <col customWidth="1" min="2" max="2" width="14.1640625"/>
  </cols>
  <sheetData>
    <row r="1" ht="18">
      <c r="A1" s="11" t="s">
        <v>0</v>
      </c>
      <c r="B1" s="11" t="s">
        <v>1</v>
      </c>
      <c r="C1" s="11" t="s">
        <v>2</v>
      </c>
      <c r="D1" s="11" t="s">
        <v>55</v>
      </c>
      <c r="E1" s="11" t="s">
        <v>56</v>
      </c>
    </row>
    <row r="2" ht="18">
      <c r="A2" s="12" t="s">
        <v>7</v>
      </c>
      <c r="B2" s="13" t="s">
        <v>8</v>
      </c>
      <c r="C2" s="6">
        <v>0.59999999999999998</v>
      </c>
      <c r="D2" s="14"/>
      <c r="E2" s="15">
        <f t="shared" ref="E2:E9" si="0">D2*C2</f>
        <v>0</v>
      </c>
    </row>
    <row r="3" ht="18">
      <c r="A3" s="12" t="s">
        <v>13</v>
      </c>
      <c r="B3" s="13" t="s">
        <v>14</v>
      </c>
      <c r="C3" s="6">
        <v>0.050000000000000003</v>
      </c>
      <c r="D3" s="14"/>
      <c r="E3" s="15">
        <f t="shared" si="0"/>
        <v>0</v>
      </c>
    </row>
    <row r="4" ht="18">
      <c r="A4" s="12"/>
      <c r="B4" s="13" t="s">
        <v>19</v>
      </c>
      <c r="C4" s="6">
        <v>0.050000000000000003</v>
      </c>
      <c r="D4" s="14"/>
      <c r="E4" s="15">
        <f t="shared" si="0"/>
        <v>0</v>
      </c>
    </row>
    <row r="5" ht="18">
      <c r="A5" s="12"/>
      <c r="B5" s="13" t="s">
        <v>24</v>
      </c>
      <c r="C5" s="6">
        <v>0.050000000000000003</v>
      </c>
      <c r="D5" s="14"/>
      <c r="E5" s="15">
        <f t="shared" si="0"/>
        <v>0</v>
      </c>
    </row>
    <row r="6" ht="18">
      <c r="A6" s="12"/>
      <c r="B6" s="13" t="s">
        <v>29</v>
      </c>
      <c r="C6" s="6">
        <v>0.050000000000000003</v>
      </c>
      <c r="D6" s="14"/>
      <c r="E6" s="15">
        <f t="shared" si="0"/>
        <v>0</v>
      </c>
    </row>
    <row r="7" ht="18">
      <c r="A7" s="12" t="s">
        <v>34</v>
      </c>
      <c r="B7" s="13" t="s">
        <v>35</v>
      </c>
      <c r="C7" s="6">
        <v>0.050000000000000003</v>
      </c>
      <c r="D7" s="14"/>
      <c r="E7" s="15">
        <f t="shared" si="0"/>
        <v>0</v>
      </c>
    </row>
    <row r="8" ht="18">
      <c r="A8" s="12"/>
      <c r="B8" s="13" t="s">
        <v>40</v>
      </c>
      <c r="C8" s="6">
        <v>0.050000000000000003</v>
      </c>
      <c r="D8" s="14"/>
      <c r="E8" s="15">
        <f t="shared" si="0"/>
        <v>0</v>
      </c>
    </row>
    <row r="9" ht="18">
      <c r="A9" s="12"/>
      <c r="B9" s="13" t="s">
        <v>45</v>
      </c>
      <c r="C9" s="6">
        <v>0.050000000000000003</v>
      </c>
      <c r="D9" s="14"/>
      <c r="E9" s="15">
        <f t="shared" si="0"/>
        <v>0</v>
      </c>
    </row>
    <row r="10" ht="18">
      <c r="A10" s="12"/>
      <c r="B10" s="13" t="s">
        <v>50</v>
      </c>
      <c r="C10" s="6">
        <v>0.050000000000000003</v>
      </c>
      <c r="D10" s="14"/>
      <c r="E10" s="15"/>
    </row>
    <row r="11" ht="18">
      <c r="A11" s="16" t="s">
        <v>57</v>
      </c>
      <c r="B11" s="17"/>
      <c r="C11" s="17"/>
      <c r="D11" s="18"/>
      <c r="E11" s="15">
        <f>SUM(E2:E10)</f>
        <v>0</v>
      </c>
    </row>
  </sheetData>
  <mergeCells count="3">
    <mergeCell ref="A11:D11"/>
    <mergeCell ref="A3:A6"/>
    <mergeCell ref="A7:A1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8" activeCellId="0" sqref="K18"/>
    </sheetView>
  </sheetViews>
  <sheetFormatPr baseColWidth="10" defaultColWidth="8.83203125" defaultRowHeight="15"/>
  <cols>
    <col customWidth="1" min="2" max="2" width="14.1640625"/>
  </cols>
  <sheetData>
    <row r="1" ht="18">
      <c r="A1" s="11" t="s">
        <v>0</v>
      </c>
      <c r="B1" s="11" t="s">
        <v>1</v>
      </c>
      <c r="C1" s="11" t="s">
        <v>2</v>
      </c>
      <c r="D1" s="11" t="s">
        <v>55</v>
      </c>
      <c r="E1" s="11" t="s">
        <v>56</v>
      </c>
    </row>
    <row r="2" ht="18">
      <c r="A2" s="12" t="s">
        <v>7</v>
      </c>
      <c r="B2" s="13" t="s">
        <v>8</v>
      </c>
      <c r="C2" s="6">
        <v>0.59999999999999998</v>
      </c>
      <c r="D2" s="15">
        <v>9</v>
      </c>
      <c r="E2" s="15">
        <f t="shared" ref="E2:E10" si="1">D2*C2</f>
        <v>5.3999999999999995</v>
      </c>
    </row>
    <row r="3" ht="18">
      <c r="A3" s="12" t="s">
        <v>13</v>
      </c>
      <c r="B3" s="13" t="s">
        <v>14</v>
      </c>
      <c r="C3" s="6">
        <v>0.050000000000000003</v>
      </c>
      <c r="D3" s="15">
        <v>8</v>
      </c>
      <c r="E3" s="15">
        <f t="shared" si="1"/>
        <v>0.40000000000000002</v>
      </c>
    </row>
    <row r="4" ht="18">
      <c r="A4" s="12"/>
      <c r="B4" s="13" t="s">
        <v>19</v>
      </c>
      <c r="C4" s="6">
        <v>0.050000000000000003</v>
      </c>
      <c r="D4" s="15">
        <v>9</v>
      </c>
      <c r="E4" s="15">
        <f t="shared" si="1"/>
        <v>0.45000000000000001</v>
      </c>
    </row>
    <row r="5" ht="18">
      <c r="A5" s="12"/>
      <c r="B5" s="13" t="s">
        <v>24</v>
      </c>
      <c r="C5" s="6">
        <v>0.050000000000000003</v>
      </c>
      <c r="D5" s="15">
        <v>9</v>
      </c>
      <c r="E5" s="15">
        <f t="shared" si="1"/>
        <v>0.45000000000000001</v>
      </c>
    </row>
    <row r="6" ht="18">
      <c r="A6" s="12"/>
      <c r="B6" s="13" t="s">
        <v>29</v>
      </c>
      <c r="C6" s="6">
        <v>0.050000000000000003</v>
      </c>
      <c r="D6" s="15">
        <v>7</v>
      </c>
      <c r="E6" s="15">
        <f t="shared" si="1"/>
        <v>0.35000000000000003</v>
      </c>
    </row>
    <row r="7" ht="18">
      <c r="A7" s="12" t="s">
        <v>34</v>
      </c>
      <c r="B7" s="13" t="s">
        <v>35</v>
      </c>
      <c r="C7" s="6">
        <v>0.050000000000000003</v>
      </c>
      <c r="D7" s="15">
        <v>10</v>
      </c>
      <c r="E7" s="15">
        <f t="shared" si="1"/>
        <v>0.5</v>
      </c>
    </row>
    <row r="8" ht="18">
      <c r="A8" s="12"/>
      <c r="B8" s="13" t="s">
        <v>40</v>
      </c>
      <c r="C8" s="6">
        <v>0.050000000000000003</v>
      </c>
      <c r="D8" s="15">
        <v>10</v>
      </c>
      <c r="E8" s="15">
        <f t="shared" si="1"/>
        <v>0.5</v>
      </c>
    </row>
    <row r="9" ht="18">
      <c r="A9" s="12"/>
      <c r="B9" s="13" t="s">
        <v>45</v>
      </c>
      <c r="C9" s="6">
        <v>0.050000000000000003</v>
      </c>
      <c r="D9" s="15">
        <v>9</v>
      </c>
      <c r="E9" s="15">
        <f t="shared" si="1"/>
        <v>0.45000000000000001</v>
      </c>
    </row>
    <row r="10" ht="18">
      <c r="A10" s="12"/>
      <c r="B10" s="13" t="s">
        <v>50</v>
      </c>
      <c r="C10" s="6">
        <v>0.050000000000000003</v>
      </c>
      <c r="D10" s="15">
        <v>9</v>
      </c>
      <c r="E10" s="15">
        <f t="shared" si="1"/>
        <v>0.45000000000000001</v>
      </c>
    </row>
    <row r="11" ht="18">
      <c r="A11" s="16" t="s">
        <v>57</v>
      </c>
      <c r="B11" s="17"/>
      <c r="C11" s="17"/>
      <c r="D11" s="18"/>
      <c r="E11" s="15">
        <f>SUM(E2:E10)</f>
        <v>8.9499999999999993</v>
      </c>
    </row>
  </sheetData>
  <mergeCells count="3">
    <mergeCell ref="A11:D11"/>
    <mergeCell ref="A3:A6"/>
    <mergeCell ref="A7:A1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O16" activeCellId="0" sqref="O16"/>
    </sheetView>
  </sheetViews>
  <sheetFormatPr baseColWidth="10" defaultColWidth="8.83203125" defaultRowHeight="14.25"/>
  <cols>
    <col customWidth="1" min="2" max="2" width="14.1640625"/>
  </cols>
  <sheetData>
    <row r="1" ht="17.25">
      <c r="A1" s="11" t="s">
        <v>0</v>
      </c>
      <c r="B1" s="11" t="s">
        <v>1</v>
      </c>
      <c r="C1" s="11" t="s">
        <v>2</v>
      </c>
      <c r="D1" s="11" t="s">
        <v>55</v>
      </c>
      <c r="E1" s="11" t="s">
        <v>56</v>
      </c>
    </row>
    <row r="2" ht="17.25">
      <c r="A2" s="12" t="s">
        <v>7</v>
      </c>
      <c r="B2" s="13" t="s">
        <v>8</v>
      </c>
      <c r="C2" s="6">
        <v>0.59999999999999998</v>
      </c>
      <c r="D2" s="15">
        <v>8</v>
      </c>
      <c r="E2" s="15">
        <f t="shared" ref="E2:E9" si="2">D2*C2</f>
        <v>4.7999999999999998</v>
      </c>
    </row>
    <row r="3" ht="17.25">
      <c r="A3" s="12" t="s">
        <v>13</v>
      </c>
      <c r="B3" s="13" t="s">
        <v>14</v>
      </c>
      <c r="C3" s="6">
        <v>0.050000000000000003</v>
      </c>
      <c r="D3" s="15">
        <v>9</v>
      </c>
      <c r="E3" s="15">
        <f t="shared" si="2"/>
        <v>0.45000000000000001</v>
      </c>
    </row>
    <row r="4" ht="17.25">
      <c r="A4" s="12"/>
      <c r="B4" s="13" t="s">
        <v>19</v>
      </c>
      <c r="C4" s="6">
        <v>0.050000000000000003</v>
      </c>
      <c r="D4" s="15">
        <v>9</v>
      </c>
      <c r="E4" s="15">
        <f t="shared" si="2"/>
        <v>0.45000000000000001</v>
      </c>
    </row>
    <row r="5" ht="17.25">
      <c r="A5" s="12"/>
      <c r="B5" s="13" t="s">
        <v>24</v>
      </c>
      <c r="C5" s="6">
        <v>0.050000000000000003</v>
      </c>
      <c r="D5" s="15">
        <v>10</v>
      </c>
      <c r="E5" s="15">
        <f t="shared" si="2"/>
        <v>0.5</v>
      </c>
    </row>
    <row r="6" ht="17.25">
      <c r="A6" s="12"/>
      <c r="B6" s="13" t="s">
        <v>29</v>
      </c>
      <c r="C6" s="6">
        <v>0.050000000000000003</v>
      </c>
      <c r="D6" s="15">
        <v>10</v>
      </c>
      <c r="E6" s="15">
        <f t="shared" si="2"/>
        <v>0.5</v>
      </c>
    </row>
    <row r="7" ht="17.25">
      <c r="A7" s="12" t="s">
        <v>34</v>
      </c>
      <c r="B7" s="13" t="s">
        <v>35</v>
      </c>
      <c r="C7" s="6">
        <v>0.050000000000000003</v>
      </c>
      <c r="D7" s="15">
        <v>10</v>
      </c>
      <c r="E7" s="15">
        <f t="shared" si="2"/>
        <v>0.5</v>
      </c>
    </row>
    <row r="8" ht="17.25">
      <c r="A8" s="12"/>
      <c r="B8" s="13" t="s">
        <v>40</v>
      </c>
      <c r="C8" s="6">
        <v>0.050000000000000003</v>
      </c>
      <c r="D8" s="15">
        <v>10</v>
      </c>
      <c r="E8" s="15">
        <f t="shared" si="2"/>
        <v>0.5</v>
      </c>
    </row>
    <row r="9" ht="17.25">
      <c r="A9" s="12"/>
      <c r="B9" s="13" t="s">
        <v>45</v>
      </c>
      <c r="C9" s="6">
        <v>0.050000000000000003</v>
      </c>
      <c r="D9" s="15">
        <v>10</v>
      </c>
      <c r="E9" s="15">
        <f t="shared" si="2"/>
        <v>0.5</v>
      </c>
    </row>
    <row r="10" ht="17.25">
      <c r="A10" s="12"/>
      <c r="B10" s="13" t="s">
        <v>50</v>
      </c>
      <c r="C10" s="6">
        <v>0.050000000000000003</v>
      </c>
      <c r="D10" s="15">
        <v>10</v>
      </c>
      <c r="E10" s="15">
        <f>D10*C10</f>
        <v>0.5</v>
      </c>
    </row>
    <row r="11" ht="17.25">
      <c r="A11" s="16" t="s">
        <v>57</v>
      </c>
      <c r="B11" s="17"/>
      <c r="C11" s="17"/>
      <c r="D11" s="18"/>
      <c r="E11" s="15">
        <f>SUM(E2:E10)</f>
        <v>8.6999999999999993</v>
      </c>
    </row>
  </sheetData>
  <mergeCells count="3">
    <mergeCell ref="A3:A6"/>
    <mergeCell ref="A7:A10"/>
    <mergeCell ref="A11:D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ONLYOFFICE/8.1.0.169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2015-06-06T02:19:00Z</dcterms:created>
  <dcterms:modified xsi:type="dcterms:W3CDTF">2024-07-16T01:41:14Z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2052-5.0.0.7542</vt:lpwstr>
  </property>
  <property fmtid="{D5CDD505-2E9C-101B-9397-08002B2CF9AE}" pid="3" name="ICV">
    <vt:lpwstr>64990436E5D758C94929C264A5A7C9DC</vt:lpwstr>
  </property>
</Properties>
</file>